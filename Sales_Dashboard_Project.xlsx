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50" activeTab="1"/>
  </bookViews>
  <sheets>
    <sheet name="Pivot Table" sheetId="3" r:id="rId1"/>
    <sheet name="Sheet1" sheetId="1" r:id="rId2"/>
    <sheet name="Dashboard" sheetId="4" r:id="rId3"/>
  </sheets>
  <definedNames>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4" i="4" l="1"/>
</calcChain>
</file>

<file path=xl/sharedStrings.xml><?xml version="1.0" encoding="utf-8"?>
<sst xmlns="http://schemas.openxmlformats.org/spreadsheetml/2006/main" count="139" uniqueCount="42">
  <si>
    <t>Date</t>
  </si>
  <si>
    <t>Product</t>
  </si>
  <si>
    <t>Region</t>
  </si>
  <si>
    <t>Sales</t>
  </si>
  <si>
    <t>Profit</t>
  </si>
  <si>
    <t>Laptop</t>
  </si>
  <si>
    <t>Mumbai</t>
  </si>
  <si>
    <t>Mobile</t>
  </si>
  <si>
    <t>Pune</t>
  </si>
  <si>
    <t>Headphones</t>
  </si>
  <si>
    <t>Delhi</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</si>
  <si>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</si>
  <si>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</si>
  <si>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</si>
  <si>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</si>
  <si>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</si>
  <si>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</si>
  <si>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</si>
  <si>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</si>
  <si>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</si>
  <si>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</si>
  <si>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</si>
  <si>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</si>
  <si>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</si>
  <si>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</si>
  <si>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</si>
  <si>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</si>
  <si>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</si>
  <si>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</si>
  <si>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</si>
  <si>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13-02-2026</t>
  </si>
  <si>
    <t>14-02-2026</t>
  </si>
  <si>
    <t>15-02-2026</t>
  </si>
  <si>
    <t>16-02-2026</t>
  </si>
  <si>
    <t>17-02-2026</t>
  </si>
  <si>
    <t>18-02-2026</t>
  </si>
  <si>
    <t>19-02-2026</t>
  </si>
  <si>
    <t>Row Labels</t>
  </si>
  <si>
    <t>Grand Total</t>
  </si>
  <si>
    <t>Sum of Sales</t>
  </si>
  <si>
    <t>SALES PERFORMANCE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</si>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</sst>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09]\ #,##0.00"/>
  </numFmts>
  <fonts count="5" x14ac:knownFonts="1">
    <font>
      <sz val="11"/>
      <color theme="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0" fillId="0" borderId="1"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1" fillId="0" borderId="0" xfId="0" applyFont="1" applyFill="1" applyBorder="1" applyAlignment="1">
      <alignment horizontal="left"/>
    </xf>
    <xf numFmtId="0" fontId="1" fillId="0" borderId="0" xfId="0" applyNumberFormat="1" applyFont="1" applyFill="1" applyBorder="1"/>
    <xf numFmtId="0" fontId="2" fillId="0" borderId="0" xfId="0" applyFont="1" applyFill="1" applyBorder="1" applyAlignment="1">
      <alignment horizontal="left"/>
    </xf>
    <xf numFmtId="164" fontId="3" fillId="0" borderId="0" xfId="0" applyNumberFormat="1" applyFont="1" applyFill="1" applyBorder="1"/>
    <xf numFmtId="0" fontId="0" fillId="2" borderId="10" xfId="0" applyFill="1" applyBorder="1"/>
    <xf numFmtId="0" fontId="0" fillId="2" borderId="11" xfId="0" applyFill="1" applyBorder="1"/>
    <xf numFmtId="0" fontId="4" fillId="0" borderId="0" xfId="0" applyFont="1" applyFill="1"/>
    <xf numFmtId="0" fontId="2" fillId="3" borderId="0" xfId="0" applyFont="1" applyFill="1" applyAlignment="1">
      <alignment horizontal="center"/>
    </xf>
  </cellXfs>
  <cellStyles count="1">
    <cellStyle name="Normal" xfId="0" builtinId="0"/>
  </cellStyles>
  <dxfs count="4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Delhi</c:v>
                </c:pt>
                <c:pt idx="1">
                  <c:v>Mumbai</c:v>
                </c:pt>
                <c:pt idx="2">
                  <c:v>Pune</c:v>
                </c:pt>
              </c:strCache>
            </c:strRef>
          </c:cat>
          <c:val>
            <c:numRef>
              <c:f>'Pivot Table'!$B$4:$B$7</c:f>
              <c:numCache>
                <c:formatCode>General</c:formatCode>
                <c:ptCount val="3"/>
                <c:pt idx="0">
                  <c:v>505500</c:v>
                </c:pt>
                <c:pt idx="1">
                  <c:v>629500</c:v>
                </c:pt>
                <c:pt idx="2">
                  <c:v>538500</c:v>
                </c:pt>
              </c:numCache>
            </c:numRef>
          </c:val>
          <c:extLst>
            <c:ext xmlns:c16="http://schemas.microsoft.com/office/drawing/2014/chart" uri="{C3380CC4-5D6E-409C-BE32-E72D297353CC}">
              <c16:uniqueId val="{00000000-868B-4B58-9018-CBFAFEE174B3}"/>
            </c:ext>
          </c:extLst>
        </c:ser>
        <c:dLbls>
          <c:dLblPos val="outEnd"/>
          <c:showLegendKey val="0"/>
          <c:showVal val="1"/>
          <c:showCatName val="0"/>
          <c:showSerName val="0"/>
          <c:showPercent val="0"/>
          <c:showBubbleSize val="0"/>
        </c:dLbls>
        <c:gapWidth val="219"/>
        <c:overlap val="-27"/>
        <c:axId val="1533441600"/>
        <c:axId val="1533443264"/>
      </c:barChart>
      <c:catAx>
        <c:axId val="153344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Region</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443264"/>
        <c:crosses val="autoZero"/>
        <c:auto val="1"/>
        <c:lblAlgn val="ctr"/>
        <c:lblOffset val="100"/>
        <c:noMultiLvlLbl val="0"/>
      </c:catAx>
      <c:valAx>
        <c:axId val="1533443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Total Sales</a:t>
                </a:r>
                <a:endParaRPr lang="en-US" b="1"/>
              </a:p>
            </c:rich>
          </c:tx>
          <c:layout>
            <c:manualLayout>
              <c:xMode val="edge"/>
              <c:yMode val="edge"/>
              <c:x val="2.8460543337645538E-2"/>
              <c:y val="0.404277205733898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441600"/>
        <c:crosses val="autoZero"/>
        <c:crossBetween val="between"/>
      </c:valAx>
      <c:spPr>
        <a:noFill/>
        <a:ln>
          <a:noFill/>
        </a:ln>
        <a:effectLst/>
      </c:spPr>
    </c:plotArea>
    <c:plotVisOnly val="1"/>
    <c:dispBlanksAs val="gap"/>
    <c:showDLblsOverMax val="0"/>
  </c:chart>
  <c:spPr>
    <a:solidFill>
      <a:schemeClr val="bg1"/>
    </a:solidFill>
    <a:ln w="50800" cap="rnd" cmpd="sng" algn="ctr">
      <a:solidFill>
        <a:schemeClr val="accent1"/>
      </a:solidFill>
      <a:round/>
    </a:ln>
    <a:effectLst>
      <a:glow rad="203200">
        <a:schemeClr val="accent5">
          <a:satMod val="175000"/>
        </a:schemeClr>
      </a:glo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628650</xdr:colOff>
      <xdr:row>2</xdr:row>
      <xdr:rowOff>12700</xdr:rowOff>
    </xdr:from>
    <xdr:to>
      <xdr:col>8</xdr:col>
      <xdr:colOff>158750</xdr:colOff>
      <xdr:row>18</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482600</xdr:colOff>
      <xdr:row>1</xdr:row>
      <xdr:rowOff>0</xdr:rowOff>
    </xdr:from>
    <xdr:to>
      <xdr:col>11</xdr:col>
      <xdr:colOff>304800</xdr:colOff>
      <xdr:row>7</xdr:row>
      <xdr:rowOff>57150</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394700" y="298450"/>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les_Dashboard_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82.004168518521" createdVersion="6" refreshedVersion="6" minRefreshableVersion="3" recordCount="50">
  <cacheSource type="worksheet">
    <worksheetSource name="Table1" r:id="rId2"/>
  </cacheSource>
  <cacheFields count="5">
    <cacheField name="Date" numFmtId="0">
      <sharedItems containsDate="1" containsMixedTypes="1" minDate="2026-01-01T00:00:00" maxDate="2026-12-03T00:00:00"/>
    </cacheField>
    <cacheField name="Product" numFmtId="0">
      <sharedItems/>
    </cacheField>
    <cacheField name="Region" numFmtId="0">
      <sharedItems count="3">
        <s v="Mumbai"/>
        <s v="Pune"/>
        <s v="Delhi"/>
      </sharedItems>
    </cacheField>
    <cacheField name="Sales" numFmtId="0">
      <sharedItems containsSemiMixedTypes="0" containsString="0" containsNumber="1" containsInteger="1" minValue="10000" maxValue="67000" count="45">
        <n v="50000"/>
        <n v="32000"/>
        <n v="12000"/>
        <n v="45000"/>
        <n v="28000"/>
        <n v="15000"/>
        <n v="52000"/>
        <n v="30000"/>
        <n v="10000"/>
        <n v="60000"/>
        <n v="27000"/>
        <n v="13000"/>
        <n v="48000"/>
        <n v="35000"/>
        <n v="14000"/>
        <n v="53000"/>
        <n v="29000"/>
        <n v="11000"/>
        <n v="62000"/>
        <n v="26000"/>
        <n v="12500"/>
        <n v="47000"/>
        <n v="34000"/>
        <n v="15500"/>
        <n v="55000"/>
        <n v="31000"/>
        <n v="13500"/>
        <n v="64000"/>
        <n v="27500"/>
        <n v="14500"/>
        <n v="46000"/>
        <n v="33000"/>
        <n v="16000"/>
        <n v="58000"/>
        <n v="29500"/>
        <n v="11500"/>
        <n v="65000"/>
        <n v="28500"/>
        <n v="49000"/>
        <n v="36000"/>
        <n v="17000"/>
        <n v="30500"/>
        <n v="67000"/>
        <n v="51000"/>
        <n v="37000"/>
      </sharedItems>
    </cacheField>
    <cacheField name="Profit" numFmtId="0">
      <sharedItems containsSemiMixedTypes="0" containsString="0" containsNumber="1" containsInteger="1" minValue="2000" maxValue="1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d v="2026-01-01T00:00:00"/>
    <s v="Laptop"/>
    <x v="0"/>
    <x v="0"/>
    <n v="8000"/>
  </r>
  <r>
    <d v="2026-02-01T00:00:00"/>
    <s v="Mobile"/>
    <x v="1"/>
    <x v="1"/>
    <n v="5000"/>
  </r>
  <r>
    <d v="2026-03-01T00:00:00"/>
    <s v="Headphones"/>
    <x v="2"/>
    <x v="2"/>
    <n v="2500"/>
  </r>
  <r>
    <d v="2026-04-01T00:00:00"/>
    <s v="Laptop"/>
    <x v="1"/>
    <x v="3"/>
    <n v="7000"/>
  </r>
  <r>
    <d v="2026-05-01T00:00:00"/>
    <s v="Mobile"/>
    <x v="0"/>
    <x v="4"/>
    <n v="4500"/>
  </r>
  <r>
    <d v="2026-06-01T00:00:00"/>
    <s v="Headphones"/>
    <x v="2"/>
    <x v="5"/>
    <n v="3000"/>
  </r>
  <r>
    <d v="2026-07-01T00:00:00"/>
    <s v="Laptop"/>
    <x v="2"/>
    <x v="6"/>
    <n v="9000"/>
  </r>
  <r>
    <d v="2026-08-01T00:00:00"/>
    <s v="Mobile"/>
    <x v="1"/>
    <x v="7"/>
    <n v="4800"/>
  </r>
  <r>
    <d v="2026-09-01T00:00:00"/>
    <s v="Headphones"/>
    <x v="0"/>
    <x v="8"/>
    <n v="2000"/>
  </r>
  <r>
    <d v="2026-10-01T00:00:00"/>
    <s v="Laptop"/>
    <x v="0"/>
    <x v="9"/>
    <n v="10000"/>
  </r>
  <r>
    <d v="2026-11-01T00:00:00"/>
    <s v="Mobile"/>
    <x v="2"/>
    <x v="10"/>
    <n v="4200"/>
  </r>
  <r>
    <d v="2026-12-01T00:00:00"/>
    <s v="Headphones"/>
    <x v="1"/>
    <x v="11"/>
    <n v="2600"/>
  </r>
  <r>
    <s v="13-01-2026"/>
    <s v="Laptop"/>
    <x v="1"/>
    <x v="12"/>
    <n v="7500"/>
  </r>
  <r>
    <s v="14-01-2026"/>
    <s v="Mobile"/>
    <x v="0"/>
    <x v="13"/>
    <n v="5500"/>
  </r>
  <r>
    <s v="15-01-2026"/>
    <s v="Headphones"/>
    <x v="2"/>
    <x v="14"/>
    <n v="2800"/>
  </r>
  <r>
    <s v="16-01-2026"/>
    <s v="Laptop"/>
    <x v="2"/>
    <x v="15"/>
    <n v="9200"/>
  </r>
  <r>
    <s v="17-01-2026"/>
    <s v="Mobile"/>
    <x v="1"/>
    <x v="16"/>
    <n v="4600"/>
  </r>
  <r>
    <s v="18-01-2026"/>
    <s v="Headphones"/>
    <x v="0"/>
    <x v="17"/>
    <n v="2100"/>
  </r>
  <r>
    <s v="19-01-2026"/>
    <s v="Laptop"/>
    <x v="0"/>
    <x v="18"/>
    <n v="10500"/>
  </r>
  <r>
    <s v="20-01-2026"/>
    <s v="Mobile"/>
    <x v="2"/>
    <x v="19"/>
    <n v="4000"/>
  </r>
  <r>
    <s v="21-01-2026"/>
    <s v="Headphones"/>
    <x v="1"/>
    <x v="20"/>
    <n v="2400"/>
  </r>
  <r>
    <s v="22-01-2026"/>
    <s v="Laptop"/>
    <x v="1"/>
    <x v="21"/>
    <n v="7300"/>
  </r>
  <r>
    <s v="23-01-2026"/>
    <s v="Mobile"/>
    <x v="0"/>
    <x v="22"/>
    <n v="5200"/>
  </r>
  <r>
    <s v="24-01-2026"/>
    <s v="Headphones"/>
    <x v="2"/>
    <x v="23"/>
    <n v="3100"/>
  </r>
  <r>
    <s v="25-01-2026"/>
    <s v="Laptop"/>
    <x v="2"/>
    <x v="24"/>
    <n v="9500"/>
  </r>
  <r>
    <s v="26-01-2026"/>
    <s v="Mobile"/>
    <x v="1"/>
    <x v="25"/>
    <n v="4900"/>
  </r>
  <r>
    <s v="27-01-2026"/>
    <s v="Headphones"/>
    <x v="0"/>
    <x v="26"/>
    <n v="2700"/>
  </r>
  <r>
    <s v="28-01-2026"/>
    <s v="Laptop"/>
    <x v="0"/>
    <x v="27"/>
    <n v="11000"/>
  </r>
  <r>
    <s v="29-01-2026"/>
    <s v="Mobile"/>
    <x v="2"/>
    <x v="28"/>
    <n v="4300"/>
  </r>
  <r>
    <s v="30-01-2026"/>
    <s v="Headphones"/>
    <x v="1"/>
    <x v="29"/>
    <n v="2900"/>
  </r>
  <r>
    <s v="31-01-2026"/>
    <s v="Laptop"/>
    <x v="1"/>
    <x v="30"/>
    <n v="7200"/>
  </r>
  <r>
    <d v="2026-01-02T00:00:00"/>
    <s v="Mobile"/>
    <x v="0"/>
    <x v="31"/>
    <n v="5100"/>
  </r>
  <r>
    <d v="2026-02-02T00:00:00"/>
    <s v="Headphones"/>
    <x v="2"/>
    <x v="32"/>
    <n v="3200"/>
  </r>
  <r>
    <d v="2026-03-02T00:00:00"/>
    <s v="Laptop"/>
    <x v="2"/>
    <x v="33"/>
    <n v="9800"/>
  </r>
  <r>
    <d v="2026-04-02T00:00:00"/>
    <s v="Mobile"/>
    <x v="1"/>
    <x v="34"/>
    <n v="4700"/>
  </r>
  <r>
    <d v="2026-05-02T00:00:00"/>
    <s v="Headphones"/>
    <x v="0"/>
    <x v="35"/>
    <n v="2200"/>
  </r>
  <r>
    <d v="2026-06-02T00:00:00"/>
    <s v="Laptop"/>
    <x v="0"/>
    <x v="36"/>
    <n v="11500"/>
  </r>
  <r>
    <d v="2026-07-02T00:00:00"/>
    <s v="Mobile"/>
    <x v="2"/>
    <x v="37"/>
    <n v="4400"/>
  </r>
  <r>
    <d v="2026-08-02T00:00:00"/>
    <s v="Headphones"/>
    <x v="1"/>
    <x v="5"/>
    <n v="3000"/>
  </r>
  <r>
    <d v="2026-09-02T00:00:00"/>
    <s v="Laptop"/>
    <x v="1"/>
    <x v="38"/>
    <n v="7600"/>
  </r>
  <r>
    <d v="2026-10-02T00:00:00"/>
    <s v="Mobile"/>
    <x v="0"/>
    <x v="39"/>
    <n v="5600"/>
  </r>
  <r>
    <d v="2026-11-02T00:00:00"/>
    <s v="Headphones"/>
    <x v="2"/>
    <x v="40"/>
    <n v="3400"/>
  </r>
  <r>
    <d v="2026-12-02T00:00:00"/>
    <s v="Laptop"/>
    <x v="2"/>
    <x v="9"/>
    <n v="10200"/>
  </r>
  <r>
    <s v="13-02-2026"/>
    <s v="Mobile"/>
    <x v="1"/>
    <x v="41"/>
    <n v="4800"/>
  </r>
  <r>
    <s v="14-02-2026"/>
    <s v="Headphones"/>
    <x v="0"/>
    <x v="20"/>
    <n v="2500"/>
  </r>
  <r>
    <s v="15-02-2026"/>
    <s v="Laptop"/>
    <x v="0"/>
    <x v="42"/>
    <n v="12000"/>
  </r>
  <r>
    <s v="16-02-2026"/>
    <s v="Mobile"/>
    <x v="2"/>
    <x v="16"/>
    <n v="4500"/>
  </r>
  <r>
    <s v="17-02-2026"/>
    <s v="Headphones"/>
    <x v="1"/>
    <x v="23"/>
    <n v="3100"/>
  </r>
  <r>
    <s v="18-02-2026"/>
    <s v="Laptop"/>
    <x v="1"/>
    <x v="43"/>
    <n v="8000"/>
  </r>
  <r>
    <s v="19-02-2026"/>
    <s v="Mobile"/>
    <x v="0"/>
    <x v="44"/>
    <n v="5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7" firstHeaderRow="1" firstDataRow="1" firstDataCol="1"/>
  <pivotFields count="5">
    <pivotField showAll="0"/>
    <pivotField showAll="0"/>
    <pivotField axis="axisRow" showAll="0">
      <items count="4">
        <item x="2"/>
        <item x="0"/>
        <item x="1"/>
        <item t="default"/>
      </items>
    </pivotField>
    <pivotField dataField="1" showAll="0"/>
    <pivotField showAll="0"/>
  </pivotFields>
  <rowFields count="1">
    <field x="2"/>
  </rowFields>
  <rowItems count="4">
    <i>
      <x/>
    </i>
    <i>
      <x v="1"/>
    </i>
    <i>
      <x v="2"/>
    </i>
    <i t="grand">
      <x/>
    </i>
  </rowItems>
  <colItems count="1">
    <i/>
  </colItems>
  <dataFields count="1">
    <dataField name="Sum of Sales" fld="3" baseField="0" baseItem="0"/>
  </dataFields>
  <formats count="7">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outline="0" axis="axisValues" fieldPosition="0"/>
    </format>
    <format dxfId="40">
      <pivotArea dataOnly="0" labelOnly="1" fieldPosition="0">
        <references count="1">
          <reference field="2" count="0"/>
        </references>
      </pivotArea>
    </format>
    <format dxfId="39">
      <pivotArea dataOnly="0" labelOnly="1" grandRow="1" outline="0" fieldPosition="0"/>
    </format>
    <format dxfId="38">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tables/table1.xml><?xml version="1.0" encoding="utf-8"?>
<table xmlns="http://schemas.openxmlformats.org/spreadsheetml/2006/main" id="1" name="Table1" displayName="Table1" ref="A1:E51" totalsRowShown="0" headerRowDxfId="37" dataDxfId="35" headerRowBorderDxfId="36" tableBorderDxfId="34" totalsRowBorderDxfId="33">
  <autoFilter ref="A1:E51"/>
  <tableColumns count="5">
    <tableColumn id="1" name="Date" dataDxfId="32"/>
    <tableColumn id="2" name="Product" dataDxfId="31"/>
    <tableColumn id="3" name="Region" dataDxfId="30"/>
    <tableColumn id="4" name="Sales" dataDxfId="29"/>
    <tableColumn id="5" name="Profit"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workbookViewId="0">
      <selection activeCell="B12" sqref="B12"/>
    </sheetView>
  </sheetViews>
  <sheetFormatPr defaultRowHeight="14.5" x14ac:dyDescent="0.35"/>
  <cols>
    <col min="1" max="1" width="12.36328125" bestFit="1" customWidth="1"/>
    <col min="2" max="2" width="11.26953125" bestFit="1" customWidth="1"/>
  </cols>
  <sheetData>
    <row r="3" spans="1:3" x14ac:dyDescent="0.35">
      <c r="A3" s="11" t="s">
        <v>37</v>
      </c>
      <c r="B3" s="12" t="s">
        <v>39</v>
      </c>
    </row>
    <row r="4" spans="1:3" x14ac:dyDescent="0.35">
      <c r="A4" s="13" t="s">
        <v>10</v>
      </c>
      <c r="B4" s="14">
        <v>505500</v>
      </c>
    </row>
    <row r="5" spans="1:3" x14ac:dyDescent="0.35">
      <c r="A5" s="13" t="s">
        <v>6</v>
      </c>
      <c r="B5" s="14">
        <v>629500</v>
      </c>
    </row>
    <row r="6" spans="1:3" x14ac:dyDescent="0.35">
      <c r="A6" s="13" t="s">
        <v>8</v>
      </c>
      <c r="B6" s="14">
        <v>538500</v>
      </c>
    </row>
    <row r="7" spans="1:3" x14ac:dyDescent="0.35">
      <c r="A7" s="13" t="s">
        <v>38</v>
      </c>
      <c r="B7" s="14">
        <v>1673500</v>
      </c>
    </row>
    <row r="15" spans="1:3" x14ac:dyDescent="0.35">
      <c r="B15" s="21"/>
      <c r="C15" s="21"/>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tabSelected="1" workbookViewId="0">
      <selection activeCell="F30" sqref="F30"/>
    </sheetView>
  </sheetViews>
  <sheetFormatPr defaultRowHeight="14.5" x14ac:dyDescent="0.35"/>
  <cols>
    <col min="1" max="1" width="9.453125" bestFit="1" customWidth="1"/>
    <col min="2" max="2" width="12" customWidth="1"/>
    <col min="3" max="3" width="11.08984375" customWidth="1"/>
    <col min="4" max="4" width="11.26953125" customWidth="1"/>
    <col min="5" max="5" width="11.36328125" customWidth="1"/>
  </cols>
  <sheetData>
    <row r="1" spans="1:5" x14ac:dyDescent="0.35">
      <c r="A1" s="5" t="s">
        <v>0</v>
      </c>
      <c r="B1" s="6" t="s">
        <v>1</v>
      </c>
      <c r="C1" s="6" t="s">
        <v>2</v>
      </c>
      <c r="D1" s="6" t="s">
        <v>3</v>
      </c>
      <c r="E1" s="7" t="s">
        <v>4</v>
      </c>
    </row>
    <row r="2" spans="1:5" x14ac:dyDescent="0.35">
      <c r="A2" s="2">
        <v>46023</v>
      </c>
      <c r="B2" s="1" t="s">
        <v>5</v>
      </c>
      <c r="C2" s="1" t="s">
        <v>6</v>
      </c>
      <c r="D2" s="1">
        <v>50000</v>
      </c>
      <c r="E2" s="4">
        <v>8000</v>
      </c>
    </row>
    <row r="3" spans="1:5" x14ac:dyDescent="0.35">
      <c r="A3" s="2">
        <v>46054</v>
      </c>
      <c r="B3" s="1" t="s">
        <v>7</v>
      </c>
      <c r="C3" s="1" t="s">
        <v>8</v>
      </c>
      <c r="D3" s="1">
        <v>32000</v>
      </c>
      <c r="E3" s="4">
        <v>5000</v>
      </c>
    </row>
    <row r="4" spans="1:5" x14ac:dyDescent="0.35">
      <c r="A4" s="2">
        <v>46082</v>
      </c>
      <c r="B4" s="1" t="s">
        <v>9</v>
      </c>
      <c r="C4" s="1" t="s">
        <v>10</v>
      </c>
      <c r="D4" s="1">
        <v>12000</v>
      </c>
      <c r="E4" s="4">
        <v>2500</v>
      </c>
    </row>
    <row r="5" spans="1:5" x14ac:dyDescent="0.35">
      <c r="A5" s="2">
        <v>46113</v>
      </c>
      <c r="B5" s="1" t="s">
        <v>5</v>
      </c>
      <c r="C5" s="1" t="s">
        <v>8</v>
      </c>
      <c r="D5" s="1">
        <v>45000</v>
      </c>
      <c r="E5" s="4">
        <v>7000</v>
      </c>
    </row>
    <row r="6" spans="1:5" x14ac:dyDescent="0.35">
      <c r="A6" s="2">
        <v>46143</v>
      </c>
      <c r="B6" s="1" t="s">
        <v>7</v>
      </c>
      <c r="C6" s="1" t="s">
        <v>6</v>
      </c>
      <c r="D6" s="1">
        <v>28000</v>
      </c>
      <c r="E6" s="4">
        <v>4500</v>
      </c>
    </row>
    <row r="7" spans="1:5" x14ac:dyDescent="0.35">
      <c r="A7" s="2">
        <v>46174</v>
      </c>
      <c r="B7" s="1" t="s">
        <v>9</v>
      </c>
      <c r="C7" s="1" t="s">
        <v>10</v>
      </c>
      <c r="D7" s="1">
        <v>15000</v>
      </c>
      <c r="E7" s="4">
        <v>3000</v>
      </c>
    </row>
    <row r="8" spans="1:5" x14ac:dyDescent="0.35">
      <c r="A8" s="2">
        <v>46204</v>
      </c>
      <c r="B8" s="1" t="s">
        <v>5</v>
      </c>
      <c r="C8" s="1" t="s">
        <v>10</v>
      </c>
      <c r="D8" s="1">
        <v>52000</v>
      </c>
      <c r="E8" s="4">
        <v>9000</v>
      </c>
    </row>
    <row r="9" spans="1:5" x14ac:dyDescent="0.35">
      <c r="A9" s="2">
        <v>46235</v>
      </c>
      <c r="B9" s="1" t="s">
        <v>7</v>
      </c>
      <c r="C9" s="1" t="s">
        <v>8</v>
      </c>
      <c r="D9" s="1">
        <v>30000</v>
      </c>
      <c r="E9" s="4">
        <v>4800</v>
      </c>
    </row>
    <row r="10" spans="1:5" x14ac:dyDescent="0.35">
      <c r="A10" s="2">
        <v>46266</v>
      </c>
      <c r="B10" s="1" t="s">
        <v>9</v>
      </c>
      <c r="C10" s="1" t="s">
        <v>6</v>
      </c>
      <c r="D10" s="1">
        <v>10000</v>
      </c>
      <c r="E10" s="4">
        <v>2000</v>
      </c>
    </row>
    <row r="11" spans="1:5" x14ac:dyDescent="0.35">
      <c r="A11" s="2">
        <v>46296</v>
      </c>
      <c r="B11" s="1" t="s">
        <v>5</v>
      </c>
      <c r="C11" s="1" t="s">
        <v>6</v>
      </c>
      <c r="D11" s="1">
        <v>60000</v>
      </c>
      <c r="E11" s="4">
        <v>10000</v>
      </c>
    </row>
    <row r="12" spans="1:5" x14ac:dyDescent="0.35">
      <c r="A12" s="2">
        <v>46327</v>
      </c>
      <c r="B12" s="1" t="s">
        <v>7</v>
      </c>
      <c r="C12" s="1" t="s">
        <v>10</v>
      </c>
      <c r="D12" s="1">
        <v>27000</v>
      </c>
      <c r="E12" s="4">
        <v>4200</v>
      </c>
    </row>
    <row r="13" spans="1:5" x14ac:dyDescent="0.35">
      <c r="A13" s="2">
        <v>46357</v>
      </c>
      <c r="B13" s="1" t="s">
        <v>9</v>
      </c>
      <c r="C13" s="1" t="s">
        <v>8</v>
      </c>
      <c r="D13" s="1">
        <v>13000</v>
      </c>
      <c r="E13" s="4">
        <v>2600</v>
      </c>
    </row>
    <row r="14" spans="1:5" x14ac:dyDescent="0.35">
      <c r="A14" s="3" t="s">
        <v>11</v>
      </c>
      <c r="B14" s="1" t="s">
        <v>5</v>
      </c>
      <c r="C14" s="1" t="s">
        <v>8</v>
      </c>
      <c r="D14" s="1">
        <v>48000</v>
      </c>
      <c r="E14" s="4">
        <v>7500</v>
      </c>
    </row>
    <row r="15" spans="1:5" x14ac:dyDescent="0.35">
      <c r="A15" s="3" t="s">
        <v>12</v>
      </c>
      <c r="B15" s="1" t="s">
        <v>7</v>
      </c>
      <c r="C15" s="1" t="s">
        <v>6</v>
      </c>
      <c r="D15" s="1">
        <v>35000</v>
      </c>
      <c r="E15" s="4">
        <v>5500</v>
      </c>
    </row>
    <row r="16" spans="1:5" x14ac:dyDescent="0.35">
      <c r="A16" s="3" t="s">
        <v>13</v>
      </c>
      <c r="B16" s="1" t="s">
        <v>9</v>
      </c>
      <c r="C16" s="1" t="s">
        <v>10</v>
      </c>
      <c r="D16" s="1">
        <v>14000</v>
      </c>
      <c r="E16" s="4">
        <v>2800</v>
      </c>
    </row>
    <row r="17" spans="1:5" x14ac:dyDescent="0.35">
      <c r="A17" s="3" t="s">
        <v>14</v>
      </c>
      <c r="B17" s="1" t="s">
        <v>5</v>
      </c>
      <c r="C17" s="1" t="s">
        <v>10</v>
      </c>
      <c r="D17" s="1">
        <v>53000</v>
      </c>
      <c r="E17" s="4">
        <v>9200</v>
      </c>
    </row>
    <row r="18" spans="1:5" x14ac:dyDescent="0.35">
      <c r="A18" s="3" t="s">
        <v>15</v>
      </c>
      <c r="B18" s="1" t="s">
        <v>7</v>
      </c>
      <c r="C18" s="1" t="s">
        <v>8</v>
      </c>
      <c r="D18" s="1">
        <v>29000</v>
      </c>
      <c r="E18" s="4">
        <v>4600</v>
      </c>
    </row>
    <row r="19" spans="1:5" x14ac:dyDescent="0.35">
      <c r="A19" s="3" t="s">
        <v>16</v>
      </c>
      <c r="B19" s="1" t="s">
        <v>9</v>
      </c>
      <c r="C19" s="1" t="s">
        <v>6</v>
      </c>
      <c r="D19" s="1">
        <v>11000</v>
      </c>
      <c r="E19" s="4">
        <v>2100</v>
      </c>
    </row>
    <row r="20" spans="1:5" x14ac:dyDescent="0.35">
      <c r="A20" s="3" t="s">
        <v>17</v>
      </c>
      <c r="B20" s="1" t="s">
        <v>5</v>
      </c>
      <c r="C20" s="1" t="s">
        <v>6</v>
      </c>
      <c r="D20" s="1">
        <v>62000</v>
      </c>
      <c r="E20" s="4">
        <v>10500</v>
      </c>
    </row>
    <row r="21" spans="1:5" x14ac:dyDescent="0.35">
      <c r="A21" s="3" t="s">
        <v>18</v>
      </c>
      <c r="B21" s="1" t="s">
        <v>7</v>
      </c>
      <c r="C21" s="1" t="s">
        <v>10</v>
      </c>
      <c r="D21" s="1">
        <v>26000</v>
      </c>
      <c r="E21" s="4">
        <v>4000</v>
      </c>
    </row>
    <row r="22" spans="1:5" x14ac:dyDescent="0.35">
      <c r="A22" s="3" t="s">
        <v>19</v>
      </c>
      <c r="B22" s="1" t="s">
        <v>9</v>
      </c>
      <c r="C22" s="1" t="s">
        <v>8</v>
      </c>
      <c r="D22" s="1">
        <v>12500</v>
      </c>
      <c r="E22" s="4">
        <v>2400</v>
      </c>
    </row>
    <row r="23" spans="1:5" x14ac:dyDescent="0.35">
      <c r="A23" s="3" t="s">
        <v>20</v>
      </c>
      <c r="B23" s="1" t="s">
        <v>5</v>
      </c>
      <c r="C23" s="1" t="s">
        <v>8</v>
      </c>
      <c r="D23" s="1">
        <v>47000</v>
      </c>
      <c r="E23" s="4">
        <v>7300</v>
      </c>
    </row>
    <row r="24" spans="1:5" x14ac:dyDescent="0.35">
      <c r="A24" s="3" t="s">
        <v>21</v>
      </c>
      <c r="B24" s="1" t="s">
        <v>7</v>
      </c>
      <c r="C24" s="1" t="s">
        <v>6</v>
      </c>
      <c r="D24" s="1">
        <v>34000</v>
      </c>
      <c r="E24" s="4">
        <v>5200</v>
      </c>
    </row>
    <row r="25" spans="1:5" x14ac:dyDescent="0.35">
      <c r="A25" s="3" t="s">
        <v>22</v>
      </c>
      <c r="B25" s="1" t="s">
        <v>9</v>
      </c>
      <c r="C25" s="1" t="s">
        <v>10</v>
      </c>
      <c r="D25" s="1">
        <v>15500</v>
      </c>
      <c r="E25" s="4">
        <v>3100</v>
      </c>
    </row>
    <row r="26" spans="1:5" x14ac:dyDescent="0.35">
      <c r="A26" s="3" t="s">
        <v>23</v>
      </c>
      <c r="B26" s="1" t="s">
        <v>5</v>
      </c>
      <c r="C26" s="1" t="s">
        <v>10</v>
      </c>
      <c r="D26" s="1">
        <v>55000</v>
      </c>
      <c r="E26" s="4">
        <v>9500</v>
      </c>
    </row>
    <row r="27" spans="1:5" x14ac:dyDescent="0.35">
      <c r="A27" s="3" t="s">
        <v>24</v>
      </c>
      <c r="B27" s="1" t="s">
        <v>7</v>
      </c>
      <c r="C27" s="1" t="s">
        <v>8</v>
      </c>
      <c r="D27" s="1">
        <v>31000</v>
      </c>
      <c r="E27" s="4">
        <v>4900</v>
      </c>
    </row>
    <row r="28" spans="1:5" x14ac:dyDescent="0.35">
      <c r="A28" s="3" t="s">
        <v>25</v>
      </c>
      <c r="B28" s="1" t="s">
        <v>9</v>
      </c>
      <c r="C28" s="1" t="s">
        <v>6</v>
      </c>
      <c r="D28" s="1">
        <v>13500</v>
      </c>
      <c r="E28" s="4">
        <v>2700</v>
      </c>
    </row>
    <row r="29" spans="1:5" x14ac:dyDescent="0.35">
      <c r="A29" s="3" t="s">
        <v>26</v>
      </c>
      <c r="B29" s="1" t="s">
        <v>5</v>
      </c>
      <c r="C29" s="1" t="s">
        <v>6</v>
      </c>
      <c r="D29" s="1">
        <v>64000</v>
      </c>
      <c r="E29" s="4">
        <v>11000</v>
      </c>
    </row>
    <row r="30" spans="1:5" x14ac:dyDescent="0.35">
      <c r="A30" s="3" t="s">
        <v>27</v>
      </c>
      <c r="B30" s="1" t="s">
        <v>7</v>
      </c>
      <c r="C30" s="1" t="s">
        <v>10</v>
      </c>
      <c r="D30" s="1">
        <v>27500</v>
      </c>
      <c r="E30" s="4">
        <v>4300</v>
      </c>
    </row>
    <row r="31" spans="1:5" x14ac:dyDescent="0.35">
      <c r="A31" s="3" t="s">
        <v>28</v>
      </c>
      <c r="B31" s="1" t="s">
        <v>9</v>
      </c>
      <c r="C31" s="1" t="s">
        <v>8</v>
      </c>
      <c r="D31" s="1">
        <v>14500</v>
      </c>
      <c r="E31" s="4">
        <v>2900</v>
      </c>
    </row>
    <row r="32" spans="1:5" x14ac:dyDescent="0.35">
      <c r="A32" s="3" t="s">
        <v>29</v>
      </c>
      <c r="B32" s="1" t="s">
        <v>5</v>
      </c>
      <c r="C32" s="1" t="s">
        <v>8</v>
      </c>
      <c r="D32" s="1">
        <v>46000</v>
      </c>
      <c r="E32" s="4">
        <v>7200</v>
      </c>
    </row>
    <row r="33" spans="1:5" x14ac:dyDescent="0.35">
      <c r="A33" s="2">
        <v>46024</v>
      </c>
      <c r="B33" s="1" t="s">
        <v>7</v>
      </c>
      <c r="C33" s="1" t="s">
        <v>6</v>
      </c>
      <c r="D33" s="1">
        <v>33000</v>
      </c>
      <c r="E33" s="4">
        <v>5100</v>
      </c>
    </row>
    <row r="34" spans="1:5" x14ac:dyDescent="0.35">
      <c r="A34" s="2">
        <v>46055</v>
      </c>
      <c r="B34" s="1" t="s">
        <v>9</v>
      </c>
      <c r="C34" s="1" t="s">
        <v>10</v>
      </c>
      <c r="D34" s="1">
        <v>16000</v>
      </c>
      <c r="E34" s="4">
        <v>3200</v>
      </c>
    </row>
    <row r="35" spans="1:5" x14ac:dyDescent="0.35">
      <c r="A35" s="2">
        <v>46083</v>
      </c>
      <c r="B35" s="1" t="s">
        <v>5</v>
      </c>
      <c r="C35" s="1" t="s">
        <v>10</v>
      </c>
      <c r="D35" s="1">
        <v>58000</v>
      </c>
      <c r="E35" s="4">
        <v>9800</v>
      </c>
    </row>
    <row r="36" spans="1:5" x14ac:dyDescent="0.35">
      <c r="A36" s="2">
        <v>46114</v>
      </c>
      <c r="B36" s="1" t="s">
        <v>7</v>
      </c>
      <c r="C36" s="1" t="s">
        <v>8</v>
      </c>
      <c r="D36" s="1">
        <v>29500</v>
      </c>
      <c r="E36" s="4">
        <v>4700</v>
      </c>
    </row>
    <row r="37" spans="1:5" x14ac:dyDescent="0.35">
      <c r="A37" s="2">
        <v>46144</v>
      </c>
      <c r="B37" s="1" t="s">
        <v>9</v>
      </c>
      <c r="C37" s="1" t="s">
        <v>6</v>
      </c>
      <c r="D37" s="1">
        <v>11500</v>
      </c>
      <c r="E37" s="4">
        <v>2200</v>
      </c>
    </row>
    <row r="38" spans="1:5" x14ac:dyDescent="0.35">
      <c r="A38" s="2">
        <v>46175</v>
      </c>
      <c r="B38" s="1" t="s">
        <v>5</v>
      </c>
      <c r="C38" s="1" t="s">
        <v>6</v>
      </c>
      <c r="D38" s="1">
        <v>65000</v>
      </c>
      <c r="E38" s="4">
        <v>11500</v>
      </c>
    </row>
    <row r="39" spans="1:5" x14ac:dyDescent="0.35">
      <c r="A39" s="2">
        <v>46205</v>
      </c>
      <c r="B39" s="1" t="s">
        <v>7</v>
      </c>
      <c r="C39" s="1" t="s">
        <v>10</v>
      </c>
      <c r="D39" s="1">
        <v>28500</v>
      </c>
      <c r="E39" s="4">
        <v>4400</v>
      </c>
    </row>
    <row r="40" spans="1:5" x14ac:dyDescent="0.35">
      <c r="A40" s="2">
        <v>46236</v>
      </c>
      <c r="B40" s="1" t="s">
        <v>9</v>
      </c>
      <c r="C40" s="1" t="s">
        <v>8</v>
      </c>
      <c r="D40" s="1">
        <v>15000</v>
      </c>
      <c r="E40" s="4">
        <v>3000</v>
      </c>
    </row>
    <row r="41" spans="1:5" x14ac:dyDescent="0.35">
      <c r="A41" s="2">
        <v>46267</v>
      </c>
      <c r="B41" s="1" t="s">
        <v>5</v>
      </c>
      <c r="C41" s="1" t="s">
        <v>8</v>
      </c>
      <c r="D41" s="1">
        <v>49000</v>
      </c>
      <c r="E41" s="4">
        <v>7600</v>
      </c>
    </row>
    <row r="42" spans="1:5" x14ac:dyDescent="0.35">
      <c r="A42" s="2">
        <v>46297</v>
      </c>
      <c r="B42" s="1" t="s">
        <v>7</v>
      </c>
      <c r="C42" s="1" t="s">
        <v>6</v>
      </c>
      <c r="D42" s="1">
        <v>36000</v>
      </c>
      <c r="E42" s="4">
        <v>5600</v>
      </c>
    </row>
    <row r="43" spans="1:5" x14ac:dyDescent="0.35">
      <c r="A43" s="2">
        <v>46328</v>
      </c>
      <c r="B43" s="1" t="s">
        <v>9</v>
      </c>
      <c r="C43" s="1" t="s">
        <v>10</v>
      </c>
      <c r="D43" s="1">
        <v>17000</v>
      </c>
      <c r="E43" s="4">
        <v>3400</v>
      </c>
    </row>
    <row r="44" spans="1:5" x14ac:dyDescent="0.35">
      <c r="A44" s="2">
        <v>46358</v>
      </c>
      <c r="B44" s="1" t="s">
        <v>5</v>
      </c>
      <c r="C44" s="1" t="s">
        <v>10</v>
      </c>
      <c r="D44" s="1">
        <v>60000</v>
      </c>
      <c r="E44" s="4">
        <v>10200</v>
      </c>
    </row>
    <row r="45" spans="1:5" x14ac:dyDescent="0.35">
      <c r="A45" s="3" t="s">
        <v>30</v>
      </c>
      <c r="B45" s="1" t="s">
        <v>7</v>
      </c>
      <c r="C45" s="1" t="s">
        <v>8</v>
      </c>
      <c r="D45" s="1">
        <v>30500</v>
      </c>
      <c r="E45" s="4">
        <v>4800</v>
      </c>
    </row>
    <row r="46" spans="1:5" x14ac:dyDescent="0.35">
      <c r="A46" s="3" t="s">
        <v>31</v>
      </c>
      <c r="B46" s="1" t="s">
        <v>9</v>
      </c>
      <c r="C46" s="1" t="s">
        <v>6</v>
      </c>
      <c r="D46" s="1">
        <v>12500</v>
      </c>
      <c r="E46" s="4">
        <v>2500</v>
      </c>
    </row>
    <row r="47" spans="1:5" x14ac:dyDescent="0.35">
      <c r="A47" s="3" t="s">
        <v>32</v>
      </c>
      <c r="B47" s="1" t="s">
        <v>5</v>
      </c>
      <c r="C47" s="1" t="s">
        <v>6</v>
      </c>
      <c r="D47" s="1">
        <v>67000</v>
      </c>
      <c r="E47" s="4">
        <v>12000</v>
      </c>
    </row>
    <row r="48" spans="1:5" x14ac:dyDescent="0.35">
      <c r="A48" s="3" t="s">
        <v>33</v>
      </c>
      <c r="B48" s="1" t="s">
        <v>7</v>
      </c>
      <c r="C48" s="1" t="s">
        <v>10</v>
      </c>
      <c r="D48" s="1">
        <v>29000</v>
      </c>
      <c r="E48" s="4">
        <v>4500</v>
      </c>
    </row>
    <row r="49" spans="1:5" x14ac:dyDescent="0.35">
      <c r="A49" s="3" t="s">
        <v>34</v>
      </c>
      <c r="B49" s="1" t="s">
        <v>9</v>
      </c>
      <c r="C49" s="1" t="s">
        <v>8</v>
      </c>
      <c r="D49" s="1">
        <v>15500</v>
      </c>
      <c r="E49" s="4">
        <v>3100</v>
      </c>
    </row>
    <row r="50" spans="1:5" x14ac:dyDescent="0.35">
      <c r="A50" s="3" t="s">
        <v>35</v>
      </c>
      <c r="B50" s="1" t="s">
        <v>5</v>
      </c>
      <c r="C50" s="1" t="s">
        <v>8</v>
      </c>
      <c r="D50" s="1">
        <v>51000</v>
      </c>
      <c r="E50" s="4">
        <v>8000</v>
      </c>
    </row>
    <row r="51" spans="1:5" x14ac:dyDescent="0.35">
      <c r="A51" s="8" t="s">
        <v>36</v>
      </c>
      <c r="B51" s="9" t="s">
        <v>7</v>
      </c>
      <c r="C51" s="9" t="s">
        <v>6</v>
      </c>
      <c r="D51" s="9">
        <v>37000</v>
      </c>
      <c r="E51" s="10">
        <v>5800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J12" sqref="J12"/>
    </sheetView>
  </sheetViews>
  <sheetFormatPr defaultRowHeight="14.5" x14ac:dyDescent="0.35"/>
  <cols>
    <col min="1" max="1" width="30.54296875" customWidth="1"/>
    <col min="2" max="2" width="15.81640625" customWidth="1"/>
    <col min="3" max="3" width="23.26953125" bestFit="1" customWidth="1"/>
    <col min="5" max="5" width="8.7265625" customWidth="1"/>
    <col min="11" max="11" width="11.26953125" customWidth="1"/>
  </cols>
  <sheetData>
    <row r="1" spans="1:13" ht="23.5" x14ac:dyDescent="0.55000000000000004">
      <c r="A1" s="22" t="s">
        <v>40</v>
      </c>
      <c r="B1" s="22"/>
      <c r="C1" s="22"/>
      <c r="D1" s="22"/>
      <c r="E1" s="22"/>
      <c r="F1" s="22"/>
      <c r="G1" s="22"/>
      <c r="H1" s="22"/>
      <c r="I1" s="22"/>
      <c r="J1" s="22"/>
      <c r="K1" s="22"/>
      <c r="L1" s="22"/>
      <c r="M1" s="22"/>
    </row>
    <row r="4" spans="1:13" x14ac:dyDescent="0.35">
      <c r="B4" s="15"/>
      <c r="C4" s="16"/>
    </row>
    <row r="13" spans="1:13" ht="15" thickBot="1" x14ac:dyDescent="0.4"/>
    <row r="14" spans="1:13" ht="26.5" thickBot="1" x14ac:dyDescent="0.65">
      <c r="B14" s="17"/>
      <c r="C14" s="18"/>
      <c r="K14" s="19" t="s">
        <v>41</v>
      </c>
      <c r="L14" s="20">
        <f>GETPIVOTDATA("Sales",'Pivot Table'!$A$3)</f>
        <v>1673500</v>
      </c>
    </row>
  </sheetData>
  <mergeCells count="1">
    <mergeCell ref="A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2026-03-01T08:15:34Z</dcterms:modified>
</cp:coreProperties>
</file>